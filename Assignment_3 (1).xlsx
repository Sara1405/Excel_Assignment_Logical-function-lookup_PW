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Q8" sheetId="8" r:id="rId11"/>
  </sheets>
  <definedNames/>
  <calcPr/>
</workbook>
</file>

<file path=xl/sharedStrings.xml><?xml version="1.0" encoding="utf-8"?>
<sst xmlns="http://schemas.openxmlformats.org/spreadsheetml/2006/main" count="84" uniqueCount="60">
  <si>
    <t>Student Name</t>
  </si>
  <si>
    <t>Marks</t>
  </si>
  <si>
    <t>Riya</t>
  </si>
  <si>
    <t>1- Write a formula to check if the marks in cell B2 are greater than or equal to 40. If Yes, return "Pass" otherwise "Fail".</t>
  </si>
  <si>
    <t>Siya</t>
  </si>
  <si>
    <t xml:space="preserve">Ans-&gt; For this Condition I use =IF() formula, Where first I input the formula into cell than select Cell B2 than assign &gt;= symbol, than put given condtion and after that input the "Pass" otherwise "Fail". 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</si>
  <si>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</si>
  <si>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</si>
  <si>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</si>
  <si>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</si>
  <si>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</si>
  <si>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</si>
  <si>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</si>
  <si>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</si>
  <si>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</si>
  <si>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</si>
  <si>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2- A Company gives a bonus if sales are above 40,000 and attendance is greater than or equal to 90%. Write a formula to calculate whether the employee will get a bonus or not.</t>
  </si>
  <si>
    <t>Ans-&gt; For this, I used IF with AND function.</t>
  </si>
  <si>
    <t>Raj</t>
  </si>
  <si>
    <t>Neha</t>
  </si>
  <si>
    <t>Vivek</t>
  </si>
  <si>
    <t>Rani</t>
  </si>
  <si>
    <t>Sneha</t>
  </si>
  <si>
    <t>3- Write a nestedif formula:</t>
  </si>
  <si>
    <t>If marks in B2 are &gt;= 90 - "A", &gt;= 75 - "B", &gt;= 50 - "C", otherwise "Fail".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</si>
  <si>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</si>
  <si>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</si>
  <si>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</si>
  <si>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</si>
  <si>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</si>
  <si>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</si>
  <si>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</si>
  <si>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</si>
  <si>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</si>
  <si>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</si>
  <si>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</si>
  <si>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</si>
  <si>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4- Find the Department of Employee ID =E103. Also explain which lookup function is used and why?</t>
  </si>
  <si>
    <t>Ans-&gt;  VLOOKUP is used because:</t>
  </si>
  <si>
    <t>- It searches for a value (Employee ID) in the first column of your table.</t>
  </si>
  <si>
    <t>- Then it returns the matching value from another column.</t>
  </si>
  <si>
    <t>- Perfect for situation where you wanna pull info related to a specific ID.</t>
  </si>
  <si>
    <t>5- A Company has sent the following commission structure for its sales team:-</t>
  </si>
  <si>
    <t>Sales Amount</t>
  </si>
  <si>
    <t>Commission Rate</t>
  </si>
  <si>
    <t>If a salesperson achieves sales of rs.45,000, use the VLOOKUP function to determine the commission rate applicable.</t>
  </si>
  <si>
    <t>6- The HR Department maintains the following leave records of employees or not.</t>
  </si>
  <si>
    <t>Employee Name</t>
  </si>
  <si>
    <t>Leave Taken</t>
  </si>
  <si>
    <t>Leave Allowed</t>
  </si>
  <si>
    <t>Alex</t>
  </si>
  <si>
    <t>Bob</t>
  </si>
  <si>
    <t>Anna</t>
  </si>
  <si>
    <t>7- Find the Salary of EmpID =E105 using INDEX-MATCH function.</t>
  </si>
  <si>
    <t>Salary</t>
  </si>
  <si>
    <t>E105</t>
  </si>
  <si>
    <t>E106</t>
  </si>
  <si>
    <t>8- Use the XLOOKUP function to find the Department of the employee with EmpID =E303.</t>
  </si>
  <si>
    <t>E303</t>
  </si>
  <si>
    <t>E301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</si>
</sst>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2" numFmtId="9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45.0</v>
      </c>
      <c r="C2" s="3" t="str">
        <f t="shared" ref="C2:C6" si="1">IF(B2&gt;=40,"Pass","Fail")</f>
        <v>Pass</v>
      </c>
      <c r="D2" s="4" t="s">
        <v>3</v>
      </c>
    </row>
    <row r="3">
      <c r="A3" s="2" t="s">
        <v>4</v>
      </c>
      <c r="B3" s="2">
        <v>72.0</v>
      </c>
      <c r="C3" s="3" t="str">
        <f t="shared" si="1"/>
        <v>Pass</v>
      </c>
      <c r="D3" s="4" t="s">
        <v>5</v>
      </c>
    </row>
    <row r="4">
      <c r="A4" s="2" t="s">
        <v>6</v>
      </c>
      <c r="B4" s="2">
        <v>55.0</v>
      </c>
      <c r="C4" s="3" t="str">
        <f t="shared" si="1"/>
        <v>Pass</v>
      </c>
      <c r="D4" s="4"/>
    </row>
    <row r="5">
      <c r="A5" s="2" t="s">
        <v>7</v>
      </c>
      <c r="B5" s="2">
        <v>80.0</v>
      </c>
      <c r="C5" s="3" t="str">
        <f t="shared" si="1"/>
        <v>Pass</v>
      </c>
    </row>
    <row r="6">
      <c r="A6" s="2" t="s">
        <v>8</v>
      </c>
      <c r="B6" s="2">
        <v>30.0</v>
      </c>
      <c r="C6" s="3" t="str">
        <f t="shared" si="1"/>
        <v>Fail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</v>
      </c>
      <c r="B1" s="5" t="s">
        <v>10</v>
      </c>
      <c r="C1" s="5" t="s">
        <v>11</v>
      </c>
    </row>
    <row r="2">
      <c r="A2" s="6" t="s">
        <v>12</v>
      </c>
      <c r="B2" s="6">
        <v>55000.0</v>
      </c>
      <c r="C2" s="6">
        <v>95.0</v>
      </c>
      <c r="D2" s="3" t="str">
        <f t="shared" ref="D2:D5" si="1">IF(AND(B2&gt;40000, C2&gt;=90%), "Bonus", "No Bonus")
</f>
        <v>Bonus</v>
      </c>
    </row>
    <row r="3">
      <c r="A3" s="6" t="s">
        <v>13</v>
      </c>
      <c r="B3" s="6">
        <v>65000.0</v>
      </c>
      <c r="C3" s="6">
        <v>85.0</v>
      </c>
      <c r="D3" s="3" t="str">
        <f t="shared" si="1"/>
        <v>Bonus</v>
      </c>
    </row>
    <row r="4">
      <c r="A4" s="6" t="s">
        <v>14</v>
      </c>
      <c r="B4" s="6">
        <v>30000.0</v>
      </c>
      <c r="C4" s="6">
        <v>90.0</v>
      </c>
      <c r="D4" s="3" t="str">
        <f t="shared" si="1"/>
        <v>No Bonus</v>
      </c>
    </row>
    <row r="5">
      <c r="A5" s="6" t="s">
        <v>15</v>
      </c>
      <c r="B5" s="6">
        <v>25000.0</v>
      </c>
      <c r="C5" s="6">
        <v>65.0</v>
      </c>
      <c r="D5" s="3" t="str">
        <f t="shared" si="1"/>
        <v>No Bonus</v>
      </c>
    </row>
    <row r="7">
      <c r="A7" s="4" t="s">
        <v>16</v>
      </c>
    </row>
    <row r="8">
      <c r="A8" s="4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</row>
    <row r="2">
      <c r="A2" s="6" t="s">
        <v>18</v>
      </c>
      <c r="B2" s="6">
        <v>85.0</v>
      </c>
      <c r="C2" s="3" t="str">
        <f t="shared" ref="C2:C6" si="1">IF(B2&gt;=90,"A", IF(B2&gt;=75,"B",IF(B2&gt;=50,"C","Fail")))</f>
        <v>B</v>
      </c>
    </row>
    <row r="3">
      <c r="A3" s="6" t="s">
        <v>19</v>
      </c>
      <c r="B3" s="6">
        <v>96.0</v>
      </c>
      <c r="C3" s="3" t="str">
        <f t="shared" si="1"/>
        <v>A</v>
      </c>
    </row>
    <row r="4">
      <c r="A4" s="6" t="s">
        <v>20</v>
      </c>
      <c r="B4" s="6">
        <v>57.0</v>
      </c>
      <c r="C4" s="3" t="str">
        <f t="shared" si="1"/>
        <v>C</v>
      </c>
    </row>
    <row r="5">
      <c r="A5" s="6" t="s">
        <v>21</v>
      </c>
      <c r="B5" s="6">
        <v>92.0</v>
      </c>
      <c r="C5" s="3" t="str">
        <f t="shared" si="1"/>
        <v>A</v>
      </c>
    </row>
    <row r="6">
      <c r="A6" s="6" t="s">
        <v>22</v>
      </c>
      <c r="B6" s="6">
        <v>75.0</v>
      </c>
      <c r="C6" s="3" t="str">
        <f t="shared" si="1"/>
        <v>B</v>
      </c>
    </row>
    <row r="8">
      <c r="A8" s="4" t="s">
        <v>23</v>
      </c>
    </row>
    <row r="9">
      <c r="A9" s="4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25</v>
      </c>
      <c r="B1" s="5" t="s">
        <v>26</v>
      </c>
      <c r="C1" s="5" t="s">
        <v>27</v>
      </c>
    </row>
    <row r="2">
      <c r="A2" s="6" t="s">
        <v>28</v>
      </c>
      <c r="B2" s="6" t="s">
        <v>6</v>
      </c>
      <c r="C2" s="6" t="s">
        <v>29</v>
      </c>
      <c r="E2" s="5" t="s">
        <v>9</v>
      </c>
      <c r="F2" s="5" t="s">
        <v>27</v>
      </c>
    </row>
    <row r="3">
      <c r="A3" s="6" t="s">
        <v>30</v>
      </c>
      <c r="B3" s="6" t="s">
        <v>2</v>
      </c>
      <c r="C3" s="6" t="s">
        <v>31</v>
      </c>
      <c r="E3" s="6" t="s">
        <v>32</v>
      </c>
      <c r="F3" s="7" t="str">
        <f>vlookup(E3,$A$1:$C$5,2,False)</f>
        <v>Roshni</v>
      </c>
    </row>
    <row r="4">
      <c r="A4" s="6" t="s">
        <v>32</v>
      </c>
      <c r="B4" s="6" t="s">
        <v>33</v>
      </c>
      <c r="C4" s="6" t="s">
        <v>34</v>
      </c>
    </row>
    <row r="5">
      <c r="A5" s="6" t="s">
        <v>35</v>
      </c>
      <c r="B5" s="6" t="s">
        <v>36</v>
      </c>
      <c r="C5" s="6" t="s">
        <v>10</v>
      </c>
    </row>
    <row r="7">
      <c r="A7" s="4" t="s">
        <v>37</v>
      </c>
    </row>
    <row r="8">
      <c r="A8" s="4" t="s">
        <v>38</v>
      </c>
    </row>
    <row r="9">
      <c r="A9" s="4" t="s">
        <v>39</v>
      </c>
    </row>
    <row r="10">
      <c r="A10" s="4" t="s">
        <v>40</v>
      </c>
    </row>
    <row r="11">
      <c r="A11" s="4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5.13"/>
  </cols>
  <sheetData>
    <row r="2">
      <c r="A2" s="4" t="s">
        <v>42</v>
      </c>
    </row>
    <row r="3">
      <c r="A3" s="5" t="s">
        <v>43</v>
      </c>
      <c r="B3" s="5" t="s">
        <v>44</v>
      </c>
    </row>
    <row r="4">
      <c r="A4" s="6">
        <v>0.0</v>
      </c>
      <c r="B4" s="8">
        <v>0.05</v>
      </c>
    </row>
    <row r="5">
      <c r="A5" s="6">
        <v>20000.0</v>
      </c>
      <c r="B5" s="8">
        <v>0.1</v>
      </c>
    </row>
    <row r="6">
      <c r="A6" s="6">
        <v>50000.0</v>
      </c>
      <c r="B6" s="8">
        <v>0.15</v>
      </c>
    </row>
    <row r="7">
      <c r="A7" s="6">
        <v>80000.0</v>
      </c>
      <c r="B7" s="8">
        <v>0.2</v>
      </c>
    </row>
    <row r="9">
      <c r="A9" s="4" t="s">
        <v>45</v>
      </c>
    </row>
    <row r="11">
      <c r="B11" s="9"/>
      <c r="C11" s="5" t="s">
        <v>44</v>
      </c>
    </row>
    <row r="12">
      <c r="C12" s="10">
        <f>VLOOKUP(45000,A3:B7,2,TRUE)</f>
        <v>0.1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15.88"/>
  </cols>
  <sheetData>
    <row r="1">
      <c r="A1" s="4" t="s">
        <v>46</v>
      </c>
    </row>
    <row r="3">
      <c r="A3" s="5" t="s">
        <v>47</v>
      </c>
      <c r="B3" s="5" t="s">
        <v>48</v>
      </c>
      <c r="C3" s="5" t="s">
        <v>49</v>
      </c>
    </row>
    <row r="4">
      <c r="A4" s="6" t="s">
        <v>50</v>
      </c>
      <c r="B4" s="6">
        <v>10.0</v>
      </c>
      <c r="C4" s="6">
        <v>12.0</v>
      </c>
      <c r="D4" s="3" t="str">
        <f t="shared" ref="D4:D6" si="1">IF(B4&lt;=C4,"Leave Available","No Leave left")</f>
        <v>Leave Available</v>
      </c>
    </row>
    <row r="5">
      <c r="A5" s="6" t="s">
        <v>51</v>
      </c>
      <c r="B5" s="6">
        <v>10.0</v>
      </c>
      <c r="C5" s="6">
        <v>15.0</v>
      </c>
      <c r="D5" s="3" t="str">
        <f t="shared" si="1"/>
        <v>Leave Available</v>
      </c>
    </row>
    <row r="6">
      <c r="A6" s="6" t="s">
        <v>52</v>
      </c>
      <c r="B6" s="6">
        <v>8.0</v>
      </c>
      <c r="C6" s="6">
        <v>12.0</v>
      </c>
      <c r="D6" s="3" t="str">
        <f t="shared" si="1"/>
        <v>Leave Available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53</v>
      </c>
    </row>
    <row r="3">
      <c r="A3" s="5" t="s">
        <v>25</v>
      </c>
      <c r="B3" s="5" t="s">
        <v>54</v>
      </c>
    </row>
    <row r="4">
      <c r="A4" s="6" t="s">
        <v>35</v>
      </c>
      <c r="B4" s="6">
        <v>55000.0</v>
      </c>
      <c r="D4" s="1" t="s">
        <v>54</v>
      </c>
    </row>
    <row r="5">
      <c r="A5" s="6" t="s">
        <v>55</v>
      </c>
      <c r="B5" s="6">
        <v>72000.0</v>
      </c>
      <c r="D5" s="11">
        <f t="array" ref="D5">INDEX(B3:B7,MATCH(A5,A3:A7,0))</f>
        <v>72000</v>
      </c>
    </row>
    <row r="6">
      <c r="A6" s="6" t="s">
        <v>56</v>
      </c>
      <c r="B6" s="6">
        <v>62000.0</v>
      </c>
    </row>
    <row r="7">
      <c r="A7" s="6" t="s">
        <v>30</v>
      </c>
      <c r="B7" s="6">
        <v>41000.0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57</v>
      </c>
    </row>
    <row r="3">
      <c r="A3" s="5" t="s">
        <v>25</v>
      </c>
      <c r="B3" s="5" t="s">
        <v>27</v>
      </c>
    </row>
    <row r="4">
      <c r="A4" s="6" t="s">
        <v>28</v>
      </c>
      <c r="B4" s="6" t="s">
        <v>31</v>
      </c>
      <c r="D4" s="4"/>
    </row>
    <row r="5">
      <c r="A5" s="6" t="s">
        <v>58</v>
      </c>
      <c r="B5" s="6" t="s">
        <v>29</v>
      </c>
      <c r="D5" s="5" t="s">
        <v>25</v>
      </c>
      <c r="E5" s="5" t="s">
        <v>27</v>
      </c>
    </row>
    <row r="6">
      <c r="A6" s="6" t="s">
        <v>56</v>
      </c>
      <c r="B6" s="6" t="s">
        <v>10</v>
      </c>
      <c r="D6" s="5" t="s">
        <v>58</v>
      </c>
      <c r="E6" s="12" t="str">
        <f t="array" ref="E6">Xlookup(D6,A3:A7,B3:B7)</f>
        <v>IT</v>
      </c>
    </row>
    <row r="7">
      <c r="A7" s="6" t="s">
        <v>59</v>
      </c>
      <c r="B7" s="6" t="s">
        <v>34</v>
      </c>
    </row>
  </sheetData>
  <drawing r:id="rId1"/>
</worksheet>
</file>